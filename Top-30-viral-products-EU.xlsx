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 30" sheetId="1" state="visible" r:id="rId3"/>
    <sheet name="Read me" sheetId="2" state="visible" r:id="rId4"/>
  </sheets>
  <definedNames>
    <definedName function="false" hidden="true" localSheetId="0" name="_xlnm._FilterDatabase" vbProcedure="false">'Top 30'!$A$1:$M$31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<sst xmlns="http://schemas.openxmlformats.org/spreadsheetml/2006/main" count="219" uniqueCount="174">
  <si>
    <t xml:space="preserve">Rank</t>
  </si>
  <si>
    <t xml:space="preserve">Product</t>
  </si>
  <si>
    <t xml:space="preserve">Category</t>
  </si>
  <si>
    <t xml:space="preserve">Est. EU price (€)</t>
  </si>
  <si>
    <t xml:space="preserve">Virality / demo (1-5)</t>
  </si>
  <si>
    <t xml:space="preserve">Sell / impulse (1-5)</t>
  </si>
  <si>
    <t xml:space="preserve">Payout potential (1-5)</t>
  </si>
  <si>
    <t xml:space="preserve">Saturation (1-5, lower=better)</t>
  </si>
  <si>
    <t xml:space="preserve">EU fit (1-5)</t>
  </si>
  <si>
    <t xml:space="preserve">Opportunity (auto)</t>
  </si>
  <si>
    <t xml:space="preserve">Best model</t>
  </si>
  <si>
    <t xml:space="preserve">Why it sells &amp; ad angle</t>
  </si>
  <si>
    <t xml:space="preserve">Compliance / notes</t>
  </si>
  <si>
    <t xml:space="preserve">LED red-light face mask</t>
  </si>
  <si>
    <t xml:space="preserve">Beauty device</t>
  </si>
  <si>
    <t xml:space="preserve">€45–110</t>
  </si>
  <si>
    <t xml:space="preserve">Both (own-margin strong)</t>
  </si>
  <si>
    <t xml:space="preserve">High perceived value, glowing 'glow-up routine' demo; great gift. Bigggest beauty-device trend.</t>
  </si>
  <si>
    <t xml:space="preserve">Skin-appearance only — NO acne/anti-ageing or medical claims. CE/electrical safety.</t>
  </si>
  <si>
    <t xml:space="preserve">Air styler / blowout brush (multi-styler)</t>
  </si>
  <si>
    <t xml:space="preserve">Hair tool</t>
  </si>
  <si>
    <t xml:space="preserve">€35–70</t>
  </si>
  <si>
    <t xml:space="preserve">Both</t>
  </si>
  <si>
    <t xml:space="preserve">Dyson-style transformation; 'salon blowout at home' before/after.</t>
  </si>
  <si>
    <t xml:space="preserve">No 'damage-free' guarantees. EU plug/voltage; CE.</t>
  </si>
  <si>
    <t xml:space="preserve">Massage gun (percussion)</t>
  </si>
  <si>
    <t xml:space="preserve">Wellness device</t>
  </si>
  <si>
    <t xml:space="preserve">€40–90</t>
  </si>
  <si>
    <t xml:space="preserve">Recovery/tension-relief demo; strong gifting item.</t>
  </si>
  <si>
    <t xml:space="preserve">No medical / pain-cure claims. Battery shipping.</t>
  </si>
  <si>
    <t xml:space="preserve">Mini portable projector</t>
  </si>
  <si>
    <t xml:space="preserve">Tech</t>
  </si>
  <si>
    <t xml:space="preserve">€60–150</t>
  </si>
  <si>
    <t xml:space="preserve">Affiliate now / Both</t>
  </si>
  <si>
    <t xml:space="preserve">'Bedroom cinema / movie night' demo; high € per sale.</t>
  </si>
  <si>
    <t xml:space="preserve">State real resolution/lumens. EU plug; CE.</t>
  </si>
  <si>
    <t xml:space="preserve">Heated eye-massager mask</t>
  </si>
  <si>
    <t xml:space="preserve">€30–60</t>
  </si>
  <si>
    <t xml:space="preserve">Sleep / screen-fatigue wind-down; relaxing gift.</t>
  </si>
  <si>
    <t xml:space="preserve">No medical claims (no 'cures migraines/dry eye').</t>
  </si>
  <si>
    <t xml:space="preserve">Shiatsu neck &amp; back massager (heated)</t>
  </si>
  <si>
    <t xml:space="preserve">Desk/neck tension relief demo; gift-friendly, higher ticket.</t>
  </si>
  <si>
    <t xml:space="preserve">No medical claims. CE/electrical.</t>
  </si>
  <si>
    <t xml:space="preserve">Personalised dainty necklace</t>
  </si>
  <si>
    <t xml:space="preserve">Jewellery</t>
  </si>
  <si>
    <t xml:space="preserve">€25–60</t>
  </si>
  <si>
    <t xml:space="preserve">Own-margin (high)</t>
  </si>
  <si>
    <t xml:space="preserve">Gift angle (name/birthstone); 40–60% margins; light shipping.</t>
  </si>
  <si>
    <t xml:space="preserve">Nickel-free for EU (REACH). Gifting seasonality.</t>
  </si>
  <si>
    <t xml:space="preserve">Cordless handheld vacuum (car+home)</t>
  </si>
  <si>
    <t xml:space="preserve">Cleaning gadget</t>
  </si>
  <si>
    <t xml:space="preserve">€30–70</t>
  </si>
  <si>
    <t xml:space="preserve">Satisfying car-clean ASMR; broad practical appeal.</t>
  </si>
  <si>
    <t xml:space="preserve">EU plug/charging; lithium battery shipping; CE.</t>
  </si>
  <si>
    <t xml:space="preserve">Electric spin scrubber (cordless)</t>
  </si>
  <si>
    <t xml:space="preserve">€25–45</t>
  </si>
  <si>
    <t xml:space="preserve">ASMR bathroom/tile deep-clean — the video sells it.</t>
  </si>
  <si>
    <t xml:space="preserve">Battery; CE.</t>
  </si>
  <si>
    <t xml:space="preserve">Mini inkless printer (sticker/photo)</t>
  </si>
  <si>
    <t xml:space="preserve">€30–55</t>
  </si>
  <si>
    <t xml:space="preserve">Journaling / study-aesthetic novelty; 'I didn't know I needed this'.</t>
  </si>
  <si>
    <t xml:space="preserve">Thermal paper is a consumable — set expectations.</t>
  </si>
  <si>
    <t xml:space="preserve">Open-ear clip Bluetooth earbuds</t>
  </si>
  <si>
    <t xml:space="preserve">Audio</t>
  </si>
  <si>
    <t xml:space="preserve">€25–50</t>
  </si>
  <si>
    <t xml:space="preserve">2026 open-ear trend; running/cycling angle.</t>
  </si>
  <si>
    <t xml:space="preserve">Audio quality varies; quite saturated.</t>
  </si>
  <si>
    <t xml:space="preserve">Hybrid fitness smartwatch</t>
  </si>
  <si>
    <t xml:space="preserve">Wearable</t>
  </si>
  <si>
    <t xml:space="preserve">€30–80</t>
  </si>
  <si>
    <t xml:space="preserve">Affiliate / Both</t>
  </si>
  <si>
    <t xml:space="preserve">'AMOLED smartwatch under €X'; broad appeal, higher ticket.</t>
  </si>
  <si>
    <t xml:space="preserve">NO medical/health-diagnosis claims. Saturated; CE.</t>
  </si>
  <si>
    <t xml:space="preserve">Anti-theft crossbody / travel bag</t>
  </si>
  <si>
    <t xml:space="preserve">Accessory</t>
  </si>
  <si>
    <t xml:space="preserve">Travel-safety angle; strong EU travel season.</t>
  </si>
  <si>
    <t xml:space="preserve">Quality/returns; describe materials accurately.</t>
  </si>
  <si>
    <t xml:space="preserve">3-in-1 magnetic wireless charger</t>
  </si>
  <si>
    <t xml:space="preserve">Tech / EDC</t>
  </si>
  <si>
    <t xml:space="preserve">Desk-setup 'snap' ASMR; MagSafe tidy-cables.</t>
  </si>
  <si>
    <t xml:space="preserve">State MagSafe/Qi compatibility; CE.</t>
  </si>
  <si>
    <t xml:space="preserve">Galaxy / star projector</t>
  </si>
  <si>
    <t xml:space="preserve">Home lighting</t>
  </si>
  <si>
    <t xml:space="preserve">Room transformation; gaming/bedroom mood.</t>
  </si>
  <si>
    <t xml:space="preserve">Saturated — win on content angle.</t>
  </si>
  <si>
    <t xml:space="preserve">Wax-melt warmer lamp</t>
  </si>
  <si>
    <t xml:space="preserve">Home / aesthetic</t>
  </si>
  <si>
    <t xml:space="preserve">€20–35</t>
  </si>
  <si>
    <t xml:space="preserve">Aesthetic + scent (EU loves candles/scent); cosy demo.</t>
  </si>
  <si>
    <t xml:space="preserve">Heat-safety wording; CE.</t>
  </si>
  <si>
    <t xml:space="preserve">Acupressure mat set</t>
  </si>
  <si>
    <t xml:space="preserve">Wellness</t>
  </si>
  <si>
    <t xml:space="preserve">Stress/relax/'lay-down reset' routine.</t>
  </si>
  <si>
    <t xml:space="preserve">No medical claims (no 'cures back pain').</t>
  </si>
  <si>
    <t xml:space="preserve">Pet deshedding brush + hair-remover set</t>
  </si>
  <si>
    <t xml:space="preserve">Pet</t>
  </si>
  <si>
    <t xml:space="preserve">€15–30</t>
  </si>
  <si>
    <t xml:space="preserve">Satisfying de-shedding demo; huge pet audience.</t>
  </si>
  <si>
    <t xml:space="preserve">—</t>
  </si>
  <si>
    <t xml:space="preserve">Smart LED wall lights (hexagon/strip)</t>
  </si>
  <si>
    <t xml:space="preserve">€20–50</t>
  </si>
  <si>
    <t xml:space="preserve">Gamer/desk-setup glow-up; app-controlled.</t>
  </si>
  <si>
    <t xml:space="preserve">CE; honest about app quality.</t>
  </si>
  <si>
    <t xml:space="preserve">Car LED ambient / starlight roof</t>
  </si>
  <si>
    <t xml:space="preserve">Car</t>
  </si>
  <si>
    <t xml:space="preserve">€20–40</t>
  </si>
  <si>
    <t xml:space="preserve">Car interior glow-up install reveal.</t>
  </si>
  <si>
    <t xml:space="preserve">Fit/install varies by car; describe clearly.</t>
  </si>
  <si>
    <t xml:space="preserve">Cloud slippers / recovery slides</t>
  </si>
  <si>
    <t xml:space="preserve">Fashion comfort</t>
  </si>
  <si>
    <t xml:space="preserve">€15–25</t>
  </si>
  <si>
    <t xml:space="preserve">'Walking on clouds' comfort; broad + repeat/gift.</t>
  </si>
  <si>
    <t xml:space="preserve">Sizing/returns — give a clear size guide.</t>
  </si>
  <si>
    <t xml:space="preserve">Polarised trend sunglasses (Y2K)</t>
  </si>
  <si>
    <t xml:space="preserve">Fashion / summer</t>
  </si>
  <si>
    <t xml:space="preserve">€12–30</t>
  </si>
  <si>
    <t xml:space="preserve">Own-margin</t>
  </si>
  <si>
    <t xml:space="preserve">Summer impulse; high margin, light shipping.</t>
  </si>
  <si>
    <t xml:space="preserve">UV/polarised claims must be accurate.</t>
  </si>
  <si>
    <t xml:space="preserve">Car windshield sunshade umbrella</t>
  </si>
  <si>
    <t xml:space="preserve">Car / summer</t>
  </si>
  <si>
    <t xml:space="preserve">€18–30</t>
  </si>
  <si>
    <t xml:space="preserve">Seasonal NOW; 'oven car' before/after. (you already have it)</t>
  </si>
  <si>
    <t xml:space="preserve">No exact temperature-drop promises.</t>
  </si>
  <si>
    <t xml:space="preserve">Blackhead / pore vacuum</t>
  </si>
  <si>
    <t xml:space="preserve">ASMR pore-clean satisfaction.</t>
  </si>
  <si>
    <t xml:space="preserve">Skin-safety caution; no medical/derma claims.</t>
  </si>
  <si>
    <t xml:space="preserve">Magnetic lashes + eyeliner kit</t>
  </si>
  <si>
    <t xml:space="preserve">Beauty</t>
  </si>
  <si>
    <t xml:space="preserve">€12–22</t>
  </si>
  <si>
    <t xml:space="preserve">Fast no-glue application demo; repeat purchase.</t>
  </si>
  <si>
    <t xml:space="preserve">Gua sha + ice-roller facial set</t>
  </si>
  <si>
    <t xml:space="preserve">€10–20</t>
  </si>
  <si>
    <t xml:space="preserve">Cheap, repeatable 'morning routine' virality.</t>
  </si>
  <si>
    <t xml:space="preserve">No 'slims/contours face' medical claim.</t>
  </si>
  <si>
    <t xml:space="preserve">Heatless curling rod set</t>
  </si>
  <si>
    <t xml:space="preserve">Hair</t>
  </si>
  <si>
    <t xml:space="preserve">Overnight 'no-heat curls' before/after.</t>
  </si>
  <si>
    <t xml:space="preserve">Posture corrector</t>
  </si>
  <si>
    <t xml:space="preserve">Desk/'tech-neck' pain-point angle.</t>
  </si>
  <si>
    <t xml:space="preserve">No medical/cure claims.</t>
  </si>
  <si>
    <t xml:space="preserve">Sunset projection lamp</t>
  </si>
  <si>
    <t xml:space="preserve">Room glow in 5 seconds. (you already have it)</t>
  </si>
  <si>
    <t xml:space="preserve">Very saturated — content is everything.</t>
  </si>
  <si>
    <t xml:space="preserve">Neck / misting portable fan</t>
  </si>
  <si>
    <t xml:space="preserve">Summer cooling</t>
  </si>
  <si>
    <t xml:space="preserve">Seasonal cooling; POV heat-relief. (you already have it)</t>
  </si>
  <si>
    <t xml:space="preserve">Very saturated; no medical/heatstroke claims.</t>
  </si>
  <si>
    <t xml:space="preserve">vinral — Top 30 viral products to test (EU, summer 2026)</t>
  </si>
  <si>
    <t xml:space="preserve">How to use this sheet:</t>
  </si>
  <si>
    <t xml:space="preserve">• Sort by 'Opportunity (auto)' (highest = best all-round fit for your model). Use the column filters to slice by category, payout or saturation.</t>
  </si>
  <si>
    <t xml:space="preserve">• 'Best model' = how to make money: Affiliate now (link out), or Own-margin later (buy cheap, sell direct once it proves), or Both.</t>
  </si>
  <si>
    <t xml:space="preserve">• Scores are 1–5. Saturation is inverted in the Opportunity score (less saturated = better).</t>
  </si>
  <si>
    <t xml:space="preserve">• Start by testing 3 with organic short-form before any ad spend (see STRATEGY.md).</t>
  </si>
  <si>
    <t xml:space="preserve">What the scores mean:</t>
  </si>
  <si>
    <t xml:space="preserve">• Virality / demo — how easily a short video stops the scroll (visible before/after, ASMR, transformation).</t>
  </si>
  <si>
    <t xml:space="preserve">• Sell / impulse — likelihood of an impulse purchase at the price shown.</t>
  </si>
  <si>
    <t xml:space="preserve">• Payout potential — € you realistically keep per sale (price × commission for affiliate, or margin if you own it). Higher-ticket = more € even at low %.</t>
  </si>
  <si>
    <t xml:space="preserve">• Saturation — how crowded the ads already are (higher = harder/more expensive; content quality decides).</t>
  </si>
  <si>
    <t xml:space="preserve">• EU fit — demand + shipping/availability + low regulatory friction in DE/AT/NL/CZ/PL.</t>
  </si>
  <si>
    <t xml:space="preserve">Honest caveats (please read):</t>
  </si>
  <si>
    <t xml:space="preserve">• Exact 'what % of people buy' is NOT public — it depends on the store, price, ad and audience. These scores are my informed judgement from current trend data, not measured conversion rates.</t>
  </si>
  <si>
    <t xml:space="preserve">• Prices are typical EU ranges (assumptions), not quotes. Always check the live price/commission of the exact product/program you pick.</t>
  </si>
  <si>
    <t xml:space="preserve">• Affiliate reality: Amazon EU pays ~1–5%, AliExpress ~4–8% (capped). That's why higher-ticket items and (later) owning the margin matter for real profit.</t>
  </si>
  <si>
    <t xml:space="preserve">• Excluded by request: anything oral / ingestible / oral-care (supplements, gummies, whitening strips, nasal/oral care, etc.).</t>
  </si>
  <si>
    <t xml:space="preserve">• Compliance: keep claims honest — no medical/cure, no 'guaranteed', no fake reviews/scarcity. Notes per product in column M.</t>
  </si>
  <si>
    <t xml:space="preserve">Sources (2026 trend data):</t>
  </si>
  <si>
    <t xml:space="preserve">TikTok Shop Europe top products (Apr 2026) — FastMoss: https://www.fastmoss.com/blog/tiktok-shop-europe-top-products-april-2026/</t>
  </si>
  <si>
    <t xml:space="preserve">Top 50 TikTok Shop EU shops — Lengow: https://blog.lengow.com/top-50-shops-on-tiktok-shop-in-europe/</t>
  </si>
  <si>
    <t xml:space="preserve">Winning products (May 2026) — Sell The Trend: https://www.sellthetrend.com/blog/winning-products</t>
  </si>
  <si>
    <t xml:space="preserve">High-margin dropshipping products 2026 — Zendrop: https://www.zendrop.com/blog/dropshipping-products-with-high-profit-margin/</t>
  </si>
  <si>
    <t xml:space="preserve">Best summer products 2026 — AutoDS: https://www.autods.com/blog/dropshipping-niches/best-summer-dropshipping-products/</t>
  </si>
  <si>
    <t xml:space="preserve">Best seller 2026 in EU — Accio: https://www.accio.com/business/best-seller-2026-in-eu</t>
  </si>
  <si>
    <t xml:space="preserve">45+ trending TikTok items — Eprolo: https://eprolo.com/top-selling-items-on-tiktok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</si>
</sst>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E2A38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E2A3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3C77D"/>
          <bgColor rgb="FF000000"/>
        </patternFill>
      </fill>
    </dxf>
    <dxf>
      <fill>
        <patternFill patternType="solid">
          <fgColor rgb="FFA2D07F"/>
          <bgColor rgb="FF000000"/>
        </patternFill>
      </fill>
    </dxf>
    <dxf>
      <fill>
        <patternFill patternType="solid">
          <fgColor rgb="FFC1D981"/>
          <bgColor rgb="FF000000"/>
        </patternFill>
      </fill>
    </dxf>
    <dxf>
      <fill>
        <patternFill patternType="solid">
          <fgColor rgb="FFE0E383"/>
          <bgColor rgb="FF000000"/>
        </patternFill>
      </fill>
    </dxf>
    <dxf>
      <fill>
        <patternFill patternType="solid">
          <fgColor rgb="FFF98C71"/>
          <bgColor rgb="FF000000"/>
        </patternFill>
      </fill>
    </dxf>
    <dxf>
      <fill>
        <patternFill patternType="solid">
          <fgColor rgb="FFFCBB7A"/>
          <bgColor rgb="FF000000"/>
        </patternFill>
      </fill>
    </dxf>
    <dxf>
      <fill>
        <patternFill patternType="solid">
          <fgColor rgb="FFFDD37F"/>
          <bgColor rgb="FF000000"/>
        </patternFill>
      </fill>
    </dxf>
    <dxf>
      <fill>
        <patternFill patternType="solid">
          <fgColor rgb="FFFFEB8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E2A3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20"/>
    <col collapsed="false" customWidth="true" hidden="false" outlineLevel="0" max="12" min="12" style="0" width="60"/>
    <col collapsed="false" customWidth="true" hidden="false" outlineLevel="0" max="13" min="13" style="0" width="46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45.75" hidden="false" customHeight="true" outlineLevel="0" collapsed="false">
      <c r="A2" s="2" t="n">
        <v>1</v>
      </c>
      <c r="B2" s="3" t="s">
        <v>13</v>
      </c>
      <c r="C2" s="3" t="s">
        <v>14</v>
      </c>
      <c r="D2" s="3" t="s">
        <v>15</v>
      </c>
      <c r="E2" s="2" t="n">
        <v>5</v>
      </c>
      <c r="F2" s="2" t="n">
        <v>4</v>
      </c>
      <c r="G2" s="2" t="n">
        <v>5</v>
      </c>
      <c r="H2" s="2" t="n">
        <v>3</v>
      </c>
      <c r="I2" s="2" t="n">
        <v>5</v>
      </c>
      <c r="J2" s="4" t="n">
        <f aca="false">ROUND((E2+F2+G2+(6-H2)+I2)/5,1)</f>
        <v>4.4</v>
      </c>
      <c r="K2" s="3" t="s">
        <v>16</v>
      </c>
      <c r="L2" s="3" t="s">
        <v>17</v>
      </c>
      <c r="M2" s="3" t="s">
        <v>18</v>
      </c>
    </row>
    <row r="3" customFormat="false" ht="45.75" hidden="false" customHeight="true" outlineLevel="0" collapsed="false">
      <c r="A3" s="2" t="n">
        <v>2</v>
      </c>
      <c r="B3" s="3" t="s">
        <v>19</v>
      </c>
      <c r="C3" s="3" t="s">
        <v>20</v>
      </c>
      <c r="D3" s="3" t="s">
        <v>21</v>
      </c>
      <c r="E3" s="2" t="n">
        <v>5</v>
      </c>
      <c r="F3" s="2" t="n">
        <v>4</v>
      </c>
      <c r="G3" s="2" t="n">
        <v>5</v>
      </c>
      <c r="H3" s="2" t="n">
        <v>3</v>
      </c>
      <c r="I3" s="2" t="n">
        <v>5</v>
      </c>
      <c r="J3" s="4" t="n">
        <f aca="false">ROUND((E3+F3+G3+(6-H3)+I3)/5,1)</f>
        <v>4.4</v>
      </c>
      <c r="K3" s="3" t="s">
        <v>22</v>
      </c>
      <c r="L3" s="3" t="s">
        <v>23</v>
      </c>
      <c r="M3" s="3" t="s">
        <v>24</v>
      </c>
    </row>
    <row r="4" customFormat="false" ht="45.75" hidden="false" customHeight="true" outlineLevel="0" collapsed="false">
      <c r="A4" s="2" t="n">
        <v>3</v>
      </c>
      <c r="B4" s="3" t="s">
        <v>25</v>
      </c>
      <c r="C4" s="3" t="s">
        <v>26</v>
      </c>
      <c r="D4" s="3" t="s">
        <v>27</v>
      </c>
      <c r="E4" s="2" t="n">
        <v>4</v>
      </c>
      <c r="F4" s="2" t="n">
        <v>4</v>
      </c>
      <c r="G4" s="2" t="n">
        <v>5</v>
      </c>
      <c r="H4" s="2" t="n">
        <v>3</v>
      </c>
      <c r="I4" s="2" t="n">
        <v>5</v>
      </c>
      <c r="J4" s="4" t="n">
        <f aca="false">ROUND((E4+F4+G4+(6-H4)+I4)/5,1)</f>
        <v>4.2</v>
      </c>
      <c r="K4" s="3" t="s">
        <v>22</v>
      </c>
      <c r="L4" s="3" t="s">
        <v>28</v>
      </c>
      <c r="M4" s="3" t="s">
        <v>29</v>
      </c>
    </row>
    <row r="5" customFormat="false" ht="45.75" hidden="false" customHeight="true" outlineLevel="0" collapsed="false">
      <c r="A5" s="2" t="n">
        <v>4</v>
      </c>
      <c r="B5" s="3" t="s">
        <v>30</v>
      </c>
      <c r="C5" s="3" t="s">
        <v>31</v>
      </c>
      <c r="D5" s="3" t="s">
        <v>32</v>
      </c>
      <c r="E5" s="2" t="n">
        <v>5</v>
      </c>
      <c r="F5" s="2" t="n">
        <v>4</v>
      </c>
      <c r="G5" s="2" t="n">
        <v>5</v>
      </c>
      <c r="H5" s="2" t="n">
        <v>3</v>
      </c>
      <c r="I5" s="2" t="n">
        <v>4</v>
      </c>
      <c r="J5" s="4" t="n">
        <f aca="false">ROUND((E5+F5+G5+(6-H5)+I5)/5,1)</f>
        <v>4.2</v>
      </c>
      <c r="K5" s="3" t="s">
        <v>33</v>
      </c>
      <c r="L5" s="3" t="s">
        <v>34</v>
      </c>
      <c r="M5" s="3" t="s">
        <v>35</v>
      </c>
    </row>
    <row r="6" customFormat="false" ht="45.75" hidden="false" customHeight="true" outlineLevel="0" collapsed="false">
      <c r="A6" s="2" t="n">
        <v>5</v>
      </c>
      <c r="B6" s="3" t="s">
        <v>36</v>
      </c>
      <c r="C6" s="3" t="s">
        <v>26</v>
      </c>
      <c r="D6" s="3" t="s">
        <v>37</v>
      </c>
      <c r="E6" s="2" t="n">
        <v>4</v>
      </c>
      <c r="F6" s="2" t="n">
        <v>4</v>
      </c>
      <c r="G6" s="2" t="n">
        <v>4</v>
      </c>
      <c r="H6" s="2" t="n">
        <v>2</v>
      </c>
      <c r="I6" s="2" t="n">
        <v>5</v>
      </c>
      <c r="J6" s="4" t="n">
        <f aca="false">ROUND((E6+F6+G6+(6-H6)+I6)/5,1)</f>
        <v>4.2</v>
      </c>
      <c r="K6" s="3" t="s">
        <v>22</v>
      </c>
      <c r="L6" s="3" t="s">
        <v>38</v>
      </c>
      <c r="M6" s="3" t="s">
        <v>39</v>
      </c>
    </row>
    <row r="7" customFormat="false" ht="45.75" hidden="false" customHeight="true" outlineLevel="0" collapsed="false">
      <c r="A7" s="2" t="n">
        <v>6</v>
      </c>
      <c r="B7" s="3" t="s">
        <v>40</v>
      </c>
      <c r="C7" s="3" t="s">
        <v>26</v>
      </c>
      <c r="D7" s="3" t="s">
        <v>21</v>
      </c>
      <c r="E7" s="2" t="n">
        <v>4</v>
      </c>
      <c r="F7" s="2" t="n">
        <v>4</v>
      </c>
      <c r="G7" s="2" t="n">
        <v>5</v>
      </c>
      <c r="H7" s="2" t="n">
        <v>2</v>
      </c>
      <c r="I7" s="2" t="n">
        <v>5</v>
      </c>
      <c r="J7" s="4" t="n">
        <f aca="false">ROUND((E7+F7+G7+(6-H7)+I7)/5,1)</f>
        <v>4.4</v>
      </c>
      <c r="K7" s="3" t="s">
        <v>22</v>
      </c>
      <c r="L7" s="3" t="s">
        <v>41</v>
      </c>
      <c r="M7" s="3" t="s">
        <v>42</v>
      </c>
    </row>
    <row r="8" customFormat="false" ht="45.75" hidden="false" customHeight="true" outlineLevel="0" collapsed="false">
      <c r="A8" s="2" t="n">
        <v>7</v>
      </c>
      <c r="B8" s="3" t="s">
        <v>43</v>
      </c>
      <c r="C8" s="3" t="s">
        <v>44</v>
      </c>
      <c r="D8" s="3" t="s">
        <v>45</v>
      </c>
      <c r="E8" s="2" t="n">
        <v>4</v>
      </c>
      <c r="F8" s="2" t="n">
        <v>5</v>
      </c>
      <c r="G8" s="2" t="n">
        <v>5</v>
      </c>
      <c r="H8" s="2" t="n">
        <v>3</v>
      </c>
      <c r="I8" s="2" t="n">
        <v>5</v>
      </c>
      <c r="J8" s="4" t="n">
        <f aca="false">ROUND((E8+F8+G8+(6-H8)+I8)/5,1)</f>
        <v>4.4</v>
      </c>
      <c r="K8" s="3" t="s">
        <v>46</v>
      </c>
      <c r="L8" s="3" t="s">
        <v>47</v>
      </c>
      <c r="M8" s="3" t="s">
        <v>48</v>
      </c>
    </row>
    <row r="9" customFormat="false" ht="45.75" hidden="false" customHeight="true" outlineLevel="0" collapsed="false">
      <c r="A9" s="2" t="n">
        <v>8</v>
      </c>
      <c r="B9" s="3" t="s">
        <v>49</v>
      </c>
      <c r="C9" s="3" t="s">
        <v>50</v>
      </c>
      <c r="D9" s="3" t="s">
        <v>51</v>
      </c>
      <c r="E9" s="2" t="n">
        <v>4</v>
      </c>
      <c r="F9" s="2" t="n">
        <v>4</v>
      </c>
      <c r="G9" s="2" t="n">
        <v>4</v>
      </c>
      <c r="H9" s="2" t="n">
        <v>3</v>
      </c>
      <c r="I9" s="2" t="n">
        <v>5</v>
      </c>
      <c r="J9" s="4" t="n">
        <f aca="false">ROUND((E9+F9+G9+(6-H9)+I9)/5,1)</f>
        <v>4</v>
      </c>
      <c r="K9" s="3" t="s">
        <v>22</v>
      </c>
      <c r="L9" s="3" t="s">
        <v>52</v>
      </c>
      <c r="M9" s="3" t="s">
        <v>53</v>
      </c>
    </row>
    <row r="10" customFormat="false" ht="45.75" hidden="false" customHeight="true" outlineLevel="0" collapsed="false">
      <c r="A10" s="2" t="n">
        <v>9</v>
      </c>
      <c r="B10" s="3" t="s">
        <v>54</v>
      </c>
      <c r="C10" s="3" t="s">
        <v>50</v>
      </c>
      <c r="D10" s="3" t="s">
        <v>55</v>
      </c>
      <c r="E10" s="2" t="n">
        <v>5</v>
      </c>
      <c r="F10" s="2" t="n">
        <v>4</v>
      </c>
      <c r="G10" s="2" t="n">
        <v>4</v>
      </c>
      <c r="H10" s="2" t="n">
        <v>3</v>
      </c>
      <c r="I10" s="2" t="n">
        <v>5</v>
      </c>
      <c r="J10" s="4" t="n">
        <f aca="false">ROUND((E10+F10+G10+(6-H10)+I10)/5,1)</f>
        <v>4.2</v>
      </c>
      <c r="K10" s="3" t="s">
        <v>22</v>
      </c>
      <c r="L10" s="3" t="s">
        <v>56</v>
      </c>
      <c r="M10" s="3" t="s">
        <v>57</v>
      </c>
    </row>
    <row r="11" customFormat="false" ht="45.75" hidden="false" customHeight="true" outlineLevel="0" collapsed="false">
      <c r="A11" s="2" t="n">
        <v>10</v>
      </c>
      <c r="B11" s="3" t="s">
        <v>58</v>
      </c>
      <c r="C11" s="3" t="s">
        <v>31</v>
      </c>
      <c r="D11" s="3" t="s">
        <v>59</v>
      </c>
      <c r="E11" s="2" t="n">
        <v>5</v>
      </c>
      <c r="F11" s="2" t="n">
        <v>4</v>
      </c>
      <c r="G11" s="2" t="n">
        <v>4</v>
      </c>
      <c r="H11" s="2" t="n">
        <v>2</v>
      </c>
      <c r="I11" s="2" t="n">
        <v>4</v>
      </c>
      <c r="J11" s="4" t="n">
        <f aca="false">ROUND((E11+F11+G11+(6-H11)+I11)/5,1)</f>
        <v>4.2</v>
      </c>
      <c r="K11" s="3" t="s">
        <v>22</v>
      </c>
      <c r="L11" s="3" t="s">
        <v>60</v>
      </c>
      <c r="M11" s="3" t="s">
        <v>61</v>
      </c>
    </row>
    <row r="12" customFormat="false" ht="45.75" hidden="false" customHeight="true" outlineLevel="0" collapsed="false">
      <c r="A12" s="2" t="n">
        <v>11</v>
      </c>
      <c r="B12" s="3" t="s">
        <v>62</v>
      </c>
      <c r="C12" s="3" t="s">
        <v>63</v>
      </c>
      <c r="D12" s="3" t="s">
        <v>64</v>
      </c>
      <c r="E12" s="2" t="n">
        <v>4</v>
      </c>
      <c r="F12" s="2" t="n">
        <v>4</v>
      </c>
      <c r="G12" s="2" t="n">
        <v>4</v>
      </c>
      <c r="H12" s="2" t="n">
        <v>4</v>
      </c>
      <c r="I12" s="2" t="n">
        <v>5</v>
      </c>
      <c r="J12" s="4" t="n">
        <f aca="false">ROUND((E12+F12+G12+(6-H12)+I12)/5,1)</f>
        <v>3.8</v>
      </c>
      <c r="K12" s="3" t="s">
        <v>22</v>
      </c>
      <c r="L12" s="3" t="s">
        <v>65</v>
      </c>
      <c r="M12" s="3" t="s">
        <v>66</v>
      </c>
    </row>
    <row r="13" customFormat="false" ht="45.75" hidden="false" customHeight="true" outlineLevel="0" collapsed="false">
      <c r="A13" s="2" t="n">
        <v>12</v>
      </c>
      <c r="B13" s="3" t="s">
        <v>67</v>
      </c>
      <c r="C13" s="3" t="s">
        <v>68</v>
      </c>
      <c r="D13" s="3" t="s">
        <v>69</v>
      </c>
      <c r="E13" s="2" t="n">
        <v>4</v>
      </c>
      <c r="F13" s="2" t="n">
        <v>4</v>
      </c>
      <c r="G13" s="2" t="n">
        <v>5</v>
      </c>
      <c r="H13" s="2" t="n">
        <v>4</v>
      </c>
      <c r="I13" s="2" t="n">
        <v>5</v>
      </c>
      <c r="J13" s="4" t="n">
        <f aca="false">ROUND((E13+F13+G13+(6-H13)+I13)/5,1)</f>
        <v>4</v>
      </c>
      <c r="K13" s="3" t="s">
        <v>70</v>
      </c>
      <c r="L13" s="3" t="s">
        <v>71</v>
      </c>
      <c r="M13" s="3" t="s">
        <v>72</v>
      </c>
    </row>
    <row r="14" customFormat="false" ht="45.75" hidden="false" customHeight="true" outlineLevel="0" collapsed="false">
      <c r="A14" s="2" t="n">
        <v>13</v>
      </c>
      <c r="B14" s="3" t="s">
        <v>73</v>
      </c>
      <c r="C14" s="3" t="s">
        <v>74</v>
      </c>
      <c r="D14" s="3" t="s">
        <v>64</v>
      </c>
      <c r="E14" s="2" t="n">
        <v>4</v>
      </c>
      <c r="F14" s="2" t="n">
        <v>4</v>
      </c>
      <c r="G14" s="2" t="n">
        <v>4</v>
      </c>
      <c r="H14" s="2" t="n">
        <v>2</v>
      </c>
      <c r="I14" s="2" t="n">
        <v>5</v>
      </c>
      <c r="J14" s="4" t="n">
        <f aca="false">ROUND((E14+F14+G14+(6-H14)+I14)/5,1)</f>
        <v>4.2</v>
      </c>
      <c r="K14" s="3" t="s">
        <v>22</v>
      </c>
      <c r="L14" s="3" t="s">
        <v>75</v>
      </c>
      <c r="M14" s="3" t="s">
        <v>76</v>
      </c>
    </row>
    <row r="15" customFormat="false" ht="45.75" hidden="false" customHeight="true" outlineLevel="0" collapsed="false">
      <c r="A15" s="2" t="n">
        <v>14</v>
      </c>
      <c r="B15" s="3" t="s">
        <v>77</v>
      </c>
      <c r="C15" s="3" t="s">
        <v>78</v>
      </c>
      <c r="D15" s="3" t="s">
        <v>55</v>
      </c>
      <c r="E15" s="2" t="n">
        <v>4</v>
      </c>
      <c r="F15" s="2" t="n">
        <v>4</v>
      </c>
      <c r="G15" s="2" t="n">
        <v>4</v>
      </c>
      <c r="H15" s="2" t="n">
        <v>3</v>
      </c>
      <c r="I15" s="2" t="n">
        <v>5</v>
      </c>
      <c r="J15" s="4" t="n">
        <f aca="false">ROUND((E15+F15+G15+(6-H15)+I15)/5,1)</f>
        <v>4</v>
      </c>
      <c r="K15" s="3" t="s">
        <v>22</v>
      </c>
      <c r="L15" s="3" t="s">
        <v>79</v>
      </c>
      <c r="M15" s="3" t="s">
        <v>80</v>
      </c>
    </row>
    <row r="16" customFormat="false" ht="45.75" hidden="false" customHeight="true" outlineLevel="0" collapsed="false">
      <c r="A16" s="2" t="n">
        <v>15</v>
      </c>
      <c r="B16" s="3" t="s">
        <v>81</v>
      </c>
      <c r="C16" s="3" t="s">
        <v>82</v>
      </c>
      <c r="D16" s="3" t="s">
        <v>55</v>
      </c>
      <c r="E16" s="2" t="n">
        <v>5</v>
      </c>
      <c r="F16" s="2" t="n">
        <v>4</v>
      </c>
      <c r="G16" s="2" t="n">
        <v>3</v>
      </c>
      <c r="H16" s="2" t="n">
        <v>4</v>
      </c>
      <c r="I16" s="2" t="n">
        <v>4</v>
      </c>
      <c r="J16" s="4" t="n">
        <f aca="false">ROUND((E16+F16+G16+(6-H16)+I16)/5,1)</f>
        <v>3.6</v>
      </c>
      <c r="K16" s="3" t="s">
        <v>22</v>
      </c>
      <c r="L16" s="3" t="s">
        <v>83</v>
      </c>
      <c r="M16" s="3" t="s">
        <v>84</v>
      </c>
    </row>
    <row r="17" customFormat="false" ht="45.75" hidden="false" customHeight="true" outlineLevel="0" collapsed="false">
      <c r="A17" s="2" t="n">
        <v>16</v>
      </c>
      <c r="B17" s="3" t="s">
        <v>85</v>
      </c>
      <c r="C17" s="3" t="s">
        <v>86</v>
      </c>
      <c r="D17" s="3" t="s">
        <v>87</v>
      </c>
      <c r="E17" s="2" t="n">
        <v>4</v>
      </c>
      <c r="F17" s="2" t="n">
        <v>4</v>
      </c>
      <c r="G17" s="2" t="n">
        <v>3</v>
      </c>
      <c r="H17" s="2" t="n">
        <v>2</v>
      </c>
      <c r="I17" s="2" t="n">
        <v>5</v>
      </c>
      <c r="J17" s="4" t="n">
        <f aca="false">ROUND((E17+F17+G17+(6-H17)+I17)/5,1)</f>
        <v>4</v>
      </c>
      <c r="K17" s="3" t="s">
        <v>22</v>
      </c>
      <c r="L17" s="3" t="s">
        <v>88</v>
      </c>
      <c r="M17" s="3" t="s">
        <v>89</v>
      </c>
    </row>
    <row r="18" customFormat="false" ht="45.75" hidden="false" customHeight="true" outlineLevel="0" collapsed="false">
      <c r="A18" s="2" t="n">
        <v>17</v>
      </c>
      <c r="B18" s="3" t="s">
        <v>90</v>
      </c>
      <c r="C18" s="3" t="s">
        <v>91</v>
      </c>
      <c r="D18" s="3" t="s">
        <v>55</v>
      </c>
      <c r="E18" s="2" t="n">
        <v>3</v>
      </c>
      <c r="F18" s="2" t="n">
        <v>4</v>
      </c>
      <c r="G18" s="2" t="n">
        <v>4</v>
      </c>
      <c r="H18" s="2" t="n">
        <v>2</v>
      </c>
      <c r="I18" s="2" t="n">
        <v>5</v>
      </c>
      <c r="J18" s="4" t="n">
        <f aca="false">ROUND((E18+F18+G18+(6-H18)+I18)/5,1)</f>
        <v>4</v>
      </c>
      <c r="K18" s="3" t="s">
        <v>22</v>
      </c>
      <c r="L18" s="3" t="s">
        <v>92</v>
      </c>
      <c r="M18" s="3" t="s">
        <v>93</v>
      </c>
    </row>
    <row r="19" customFormat="false" ht="45.75" hidden="false" customHeight="true" outlineLevel="0" collapsed="false">
      <c r="A19" s="2" t="n">
        <v>18</v>
      </c>
      <c r="B19" s="3" t="s">
        <v>94</v>
      </c>
      <c r="C19" s="3" t="s">
        <v>95</v>
      </c>
      <c r="D19" s="3" t="s">
        <v>96</v>
      </c>
      <c r="E19" s="2" t="n">
        <v>4</v>
      </c>
      <c r="F19" s="2" t="n">
        <v>4</v>
      </c>
      <c r="G19" s="2" t="n">
        <v>3</v>
      </c>
      <c r="H19" s="2" t="n">
        <v>3</v>
      </c>
      <c r="I19" s="2" t="n">
        <v>5</v>
      </c>
      <c r="J19" s="4" t="n">
        <f aca="false">ROUND((E19+F19+G19+(6-H19)+I19)/5,1)</f>
        <v>3.8</v>
      </c>
      <c r="K19" s="3" t="s">
        <v>22</v>
      </c>
      <c r="L19" s="3" t="s">
        <v>97</v>
      </c>
      <c r="M19" s="3" t="s">
        <v>98</v>
      </c>
    </row>
    <row r="20" customFormat="false" ht="45.75" hidden="false" customHeight="true" outlineLevel="0" collapsed="false">
      <c r="A20" s="2" t="n">
        <v>19</v>
      </c>
      <c r="B20" s="3" t="s">
        <v>99</v>
      </c>
      <c r="C20" s="3" t="s">
        <v>82</v>
      </c>
      <c r="D20" s="3" t="s">
        <v>100</v>
      </c>
      <c r="E20" s="2" t="n">
        <v>4</v>
      </c>
      <c r="F20" s="2" t="n">
        <v>3</v>
      </c>
      <c r="G20" s="2" t="n">
        <v>3</v>
      </c>
      <c r="H20" s="2" t="n">
        <v>3</v>
      </c>
      <c r="I20" s="2" t="n">
        <v>4</v>
      </c>
      <c r="J20" s="4" t="n">
        <f aca="false">ROUND((E20+F20+G20+(6-H20)+I20)/5,1)</f>
        <v>3.4</v>
      </c>
      <c r="K20" s="3" t="s">
        <v>22</v>
      </c>
      <c r="L20" s="3" t="s">
        <v>101</v>
      </c>
      <c r="M20" s="3" t="s">
        <v>102</v>
      </c>
    </row>
    <row r="21" customFormat="false" ht="45.75" hidden="false" customHeight="true" outlineLevel="0" collapsed="false">
      <c r="A21" s="2" t="n">
        <v>20</v>
      </c>
      <c r="B21" s="3" t="s">
        <v>103</v>
      </c>
      <c r="C21" s="3" t="s">
        <v>104</v>
      </c>
      <c r="D21" s="3" t="s">
        <v>105</v>
      </c>
      <c r="E21" s="2" t="n">
        <v>4</v>
      </c>
      <c r="F21" s="2" t="n">
        <v>3</v>
      </c>
      <c r="G21" s="2" t="n">
        <v>3</v>
      </c>
      <c r="H21" s="2" t="n">
        <v>3</v>
      </c>
      <c r="I21" s="2" t="n">
        <v>4</v>
      </c>
      <c r="J21" s="4" t="n">
        <f aca="false">ROUND((E21+F21+G21+(6-H21)+I21)/5,1)</f>
        <v>3.4</v>
      </c>
      <c r="K21" s="3" t="s">
        <v>22</v>
      </c>
      <c r="L21" s="3" t="s">
        <v>106</v>
      </c>
      <c r="M21" s="3" t="s">
        <v>107</v>
      </c>
    </row>
    <row r="22" customFormat="false" ht="45.75" hidden="false" customHeight="true" outlineLevel="0" collapsed="false">
      <c r="A22" s="2" t="n">
        <v>21</v>
      </c>
      <c r="B22" s="3" t="s">
        <v>108</v>
      </c>
      <c r="C22" s="3" t="s">
        <v>109</v>
      </c>
      <c r="D22" s="3" t="s">
        <v>110</v>
      </c>
      <c r="E22" s="2" t="n">
        <v>4</v>
      </c>
      <c r="F22" s="2" t="n">
        <v>4</v>
      </c>
      <c r="G22" s="2" t="n">
        <v>3</v>
      </c>
      <c r="H22" s="2" t="n">
        <v>4</v>
      </c>
      <c r="I22" s="2" t="n">
        <v>5</v>
      </c>
      <c r="J22" s="4" t="n">
        <f aca="false">ROUND((E22+F22+G22+(6-H22)+I22)/5,1)</f>
        <v>3.6</v>
      </c>
      <c r="K22" s="3" t="s">
        <v>22</v>
      </c>
      <c r="L22" s="3" t="s">
        <v>111</v>
      </c>
      <c r="M22" s="3" t="s">
        <v>112</v>
      </c>
    </row>
    <row r="23" customFormat="false" ht="45.75" hidden="false" customHeight="true" outlineLevel="0" collapsed="false">
      <c r="A23" s="2" t="n">
        <v>22</v>
      </c>
      <c r="B23" s="3" t="s">
        <v>113</v>
      </c>
      <c r="C23" s="3" t="s">
        <v>114</v>
      </c>
      <c r="D23" s="3" t="s">
        <v>115</v>
      </c>
      <c r="E23" s="2" t="n">
        <v>3</v>
      </c>
      <c r="F23" s="2" t="n">
        <v>4</v>
      </c>
      <c r="G23" s="2" t="n">
        <v>4</v>
      </c>
      <c r="H23" s="2" t="n">
        <v>4</v>
      </c>
      <c r="I23" s="2" t="n">
        <v>5</v>
      </c>
      <c r="J23" s="4" t="n">
        <f aca="false">ROUND((E23+F23+G23+(6-H23)+I23)/5,1)</f>
        <v>3.6</v>
      </c>
      <c r="K23" s="3" t="s">
        <v>116</v>
      </c>
      <c r="L23" s="3" t="s">
        <v>117</v>
      </c>
      <c r="M23" s="3" t="s">
        <v>118</v>
      </c>
    </row>
    <row r="24" customFormat="false" ht="45.75" hidden="false" customHeight="true" outlineLevel="0" collapsed="false">
      <c r="A24" s="2" t="n">
        <v>23</v>
      </c>
      <c r="B24" s="3" t="s">
        <v>119</v>
      </c>
      <c r="C24" s="3" t="s">
        <v>120</v>
      </c>
      <c r="D24" s="3" t="s">
        <v>121</v>
      </c>
      <c r="E24" s="2" t="n">
        <v>4</v>
      </c>
      <c r="F24" s="2" t="n">
        <v>4</v>
      </c>
      <c r="G24" s="2" t="n">
        <v>3</v>
      </c>
      <c r="H24" s="2" t="n">
        <v>3</v>
      </c>
      <c r="I24" s="2" t="n">
        <v>5</v>
      </c>
      <c r="J24" s="4" t="n">
        <f aca="false">ROUND((E24+F24+G24+(6-H24)+I24)/5,1)</f>
        <v>3.8</v>
      </c>
      <c r="K24" s="3" t="s">
        <v>22</v>
      </c>
      <c r="L24" s="3" t="s">
        <v>122</v>
      </c>
      <c r="M24" s="3" t="s">
        <v>123</v>
      </c>
    </row>
    <row r="25" customFormat="false" ht="45.75" hidden="false" customHeight="true" outlineLevel="0" collapsed="false">
      <c r="A25" s="2" t="n">
        <v>24</v>
      </c>
      <c r="B25" s="3" t="s">
        <v>124</v>
      </c>
      <c r="C25" s="3" t="s">
        <v>14</v>
      </c>
      <c r="D25" s="3" t="s">
        <v>96</v>
      </c>
      <c r="E25" s="2" t="n">
        <v>4</v>
      </c>
      <c r="F25" s="2" t="n">
        <v>3</v>
      </c>
      <c r="G25" s="2" t="n">
        <v>3</v>
      </c>
      <c r="H25" s="2" t="n">
        <v>3</v>
      </c>
      <c r="I25" s="2" t="n">
        <v>4</v>
      </c>
      <c r="J25" s="4" t="n">
        <f aca="false">ROUND((E25+F25+G25+(6-H25)+I25)/5,1)</f>
        <v>3.4</v>
      </c>
      <c r="K25" s="3" t="s">
        <v>22</v>
      </c>
      <c r="L25" s="3" t="s">
        <v>125</v>
      </c>
      <c r="M25" s="3" t="s">
        <v>126</v>
      </c>
    </row>
    <row r="26" customFormat="false" ht="45.75" hidden="false" customHeight="true" outlineLevel="0" collapsed="false">
      <c r="A26" s="2" t="n">
        <v>25</v>
      </c>
      <c r="B26" s="3" t="s">
        <v>127</v>
      </c>
      <c r="C26" s="3" t="s">
        <v>128</v>
      </c>
      <c r="D26" s="3" t="s">
        <v>129</v>
      </c>
      <c r="E26" s="2" t="n">
        <v>4</v>
      </c>
      <c r="F26" s="2" t="n">
        <v>4</v>
      </c>
      <c r="G26" s="2" t="n">
        <v>2</v>
      </c>
      <c r="H26" s="2" t="n">
        <v>3</v>
      </c>
      <c r="I26" s="2" t="n">
        <v>5</v>
      </c>
      <c r="J26" s="4" t="n">
        <f aca="false">ROUND((E26+F26+G26+(6-H26)+I26)/5,1)</f>
        <v>3.6</v>
      </c>
      <c r="K26" s="3" t="s">
        <v>22</v>
      </c>
      <c r="L26" s="3" t="s">
        <v>130</v>
      </c>
      <c r="M26" s="3" t="s">
        <v>98</v>
      </c>
    </row>
    <row r="27" customFormat="false" ht="45.75" hidden="false" customHeight="true" outlineLevel="0" collapsed="false">
      <c r="A27" s="2" t="n">
        <v>26</v>
      </c>
      <c r="B27" s="3" t="s">
        <v>131</v>
      </c>
      <c r="C27" s="3" t="s">
        <v>128</v>
      </c>
      <c r="D27" s="3" t="s">
        <v>132</v>
      </c>
      <c r="E27" s="2" t="n">
        <v>3</v>
      </c>
      <c r="F27" s="2" t="n">
        <v>4</v>
      </c>
      <c r="G27" s="2" t="n">
        <v>2</v>
      </c>
      <c r="H27" s="2" t="n">
        <v>4</v>
      </c>
      <c r="I27" s="2" t="n">
        <v>5</v>
      </c>
      <c r="J27" s="4" t="n">
        <f aca="false">ROUND((E27+F27+G27+(6-H27)+I27)/5,1)</f>
        <v>3.2</v>
      </c>
      <c r="K27" s="3" t="s">
        <v>22</v>
      </c>
      <c r="L27" s="3" t="s">
        <v>133</v>
      </c>
      <c r="M27" s="3" t="s">
        <v>134</v>
      </c>
    </row>
    <row r="28" customFormat="false" ht="45.75" hidden="false" customHeight="true" outlineLevel="0" collapsed="false">
      <c r="A28" s="2" t="n">
        <v>27</v>
      </c>
      <c r="B28" s="3" t="s">
        <v>135</v>
      </c>
      <c r="C28" s="3" t="s">
        <v>136</v>
      </c>
      <c r="D28" s="3" t="s">
        <v>129</v>
      </c>
      <c r="E28" s="2" t="n">
        <v>4</v>
      </c>
      <c r="F28" s="2" t="n">
        <v>4</v>
      </c>
      <c r="G28" s="2" t="n">
        <v>2</v>
      </c>
      <c r="H28" s="2" t="n">
        <v>3</v>
      </c>
      <c r="I28" s="2" t="n">
        <v>5</v>
      </c>
      <c r="J28" s="4" t="n">
        <f aca="false">ROUND((E28+F28+G28+(6-H28)+I28)/5,1)</f>
        <v>3.6</v>
      </c>
      <c r="K28" s="3" t="s">
        <v>22</v>
      </c>
      <c r="L28" s="3" t="s">
        <v>137</v>
      </c>
      <c r="M28" s="3" t="s">
        <v>98</v>
      </c>
    </row>
    <row r="29" customFormat="false" ht="45.75" hidden="false" customHeight="true" outlineLevel="0" collapsed="false">
      <c r="A29" s="2" t="n">
        <v>28</v>
      </c>
      <c r="B29" s="3" t="s">
        <v>138</v>
      </c>
      <c r="C29" s="3" t="s">
        <v>91</v>
      </c>
      <c r="D29" s="3" t="s">
        <v>110</v>
      </c>
      <c r="E29" s="2" t="n">
        <v>3</v>
      </c>
      <c r="F29" s="2" t="n">
        <v>4</v>
      </c>
      <c r="G29" s="2" t="n">
        <v>3</v>
      </c>
      <c r="H29" s="2" t="n">
        <v>3</v>
      </c>
      <c r="I29" s="2" t="n">
        <v>5</v>
      </c>
      <c r="J29" s="4" t="n">
        <f aca="false">ROUND((E29+F29+G29+(6-H29)+I29)/5,1)</f>
        <v>3.6</v>
      </c>
      <c r="K29" s="3" t="s">
        <v>22</v>
      </c>
      <c r="L29" s="3" t="s">
        <v>139</v>
      </c>
      <c r="M29" s="3" t="s">
        <v>140</v>
      </c>
    </row>
    <row r="30" customFormat="false" ht="45.75" hidden="false" customHeight="true" outlineLevel="0" collapsed="false">
      <c r="A30" s="2" t="n">
        <v>29</v>
      </c>
      <c r="B30" s="3" t="s">
        <v>141</v>
      </c>
      <c r="C30" s="3" t="s">
        <v>82</v>
      </c>
      <c r="D30" s="3" t="s">
        <v>110</v>
      </c>
      <c r="E30" s="2" t="n">
        <v>4</v>
      </c>
      <c r="F30" s="2" t="n">
        <v>3</v>
      </c>
      <c r="G30" s="2" t="n">
        <v>2</v>
      </c>
      <c r="H30" s="2" t="n">
        <v>5</v>
      </c>
      <c r="I30" s="2" t="n">
        <v>4</v>
      </c>
      <c r="J30" s="4" t="n">
        <f aca="false">ROUND((E30+F30+G30+(6-H30)+I30)/5,1)</f>
        <v>2.8</v>
      </c>
      <c r="K30" s="3" t="s">
        <v>22</v>
      </c>
      <c r="L30" s="3" t="s">
        <v>142</v>
      </c>
      <c r="M30" s="3" t="s">
        <v>143</v>
      </c>
    </row>
    <row r="31" customFormat="false" ht="45.75" hidden="false" customHeight="true" outlineLevel="0" collapsed="false">
      <c r="A31" s="2" t="n">
        <v>30</v>
      </c>
      <c r="B31" s="3" t="s">
        <v>144</v>
      </c>
      <c r="C31" s="3" t="s">
        <v>145</v>
      </c>
      <c r="D31" s="3" t="s">
        <v>110</v>
      </c>
      <c r="E31" s="2" t="n">
        <v>4</v>
      </c>
      <c r="F31" s="2" t="n">
        <v>4</v>
      </c>
      <c r="G31" s="2" t="n">
        <v>2</v>
      </c>
      <c r="H31" s="2" t="n">
        <v>5</v>
      </c>
      <c r="I31" s="2" t="n">
        <v>5</v>
      </c>
      <c r="J31" s="4" t="n">
        <f aca="false">ROUND((E31+F31+G31+(6-H31)+I31)/5,1)</f>
        <v>3.2</v>
      </c>
      <c r="K31" s="3" t="s">
        <v>22</v>
      </c>
      <c r="L31" s="3" t="s">
        <v>146</v>
      </c>
      <c r="M31" s="3" t="s">
        <v>147</v>
      </c>
    </row>
  </sheetData>
  <autoFilter ref="A1:M31"/>
  <conditionalFormatting sqref="J2:J31">
    <cfRule type="colorScale" priority="2">
      <colorScale>
        <cfvo type="num" val="2.5"/>
        <cfvo type="num" val="3.6"/>
        <cfvo type="num" val="4.6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5" t="s">
        <v>148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7" t="s">
        <v>149</v>
      </c>
    </row>
    <row r="4" customFormat="false" ht="15" hidden="false" customHeight="false" outlineLevel="0" collapsed="false">
      <c r="A4" s="6" t="s">
        <v>150</v>
      </c>
    </row>
    <row r="5" customFormat="false" ht="15" hidden="false" customHeight="false" outlineLevel="0" collapsed="false">
      <c r="A5" s="6" t="s">
        <v>151</v>
      </c>
    </row>
    <row r="6" customFormat="false" ht="15" hidden="false" customHeight="false" outlineLevel="0" collapsed="false">
      <c r="A6" s="6" t="s">
        <v>152</v>
      </c>
    </row>
    <row r="7" customFormat="false" ht="15" hidden="false" customHeight="false" outlineLevel="0" collapsed="false">
      <c r="A7" s="6" t="s">
        <v>153</v>
      </c>
    </row>
    <row r="8" customFormat="false" ht="15" hidden="false" customHeight="false" outlineLevel="0" collapsed="false">
      <c r="A8" s="6"/>
    </row>
    <row r="9" customFormat="false" ht="15" hidden="false" customHeight="false" outlineLevel="0" collapsed="false">
      <c r="A9" s="7" t="s">
        <v>154</v>
      </c>
    </row>
    <row r="10" customFormat="false" ht="15" hidden="false" customHeight="false" outlineLevel="0" collapsed="false">
      <c r="A10" s="6" t="s">
        <v>155</v>
      </c>
    </row>
    <row r="11" customFormat="false" ht="15" hidden="false" customHeight="false" outlineLevel="0" collapsed="false">
      <c r="A11" s="6" t="s">
        <v>156</v>
      </c>
    </row>
    <row r="12" customFormat="false" ht="23.85" hidden="false" customHeight="false" outlineLevel="0" collapsed="false">
      <c r="A12" s="6" t="s">
        <v>157</v>
      </c>
    </row>
    <row r="13" customFormat="false" ht="15" hidden="false" customHeight="false" outlineLevel="0" collapsed="false">
      <c r="A13" s="6" t="s">
        <v>158</v>
      </c>
    </row>
    <row r="14" customFormat="false" ht="15" hidden="false" customHeight="false" outlineLevel="0" collapsed="false">
      <c r="A14" s="6" t="s">
        <v>159</v>
      </c>
    </row>
    <row r="15" customFormat="false" ht="15" hidden="false" customHeight="false" outlineLevel="0" collapsed="false">
      <c r="A15" s="6"/>
    </row>
    <row r="16" customFormat="false" ht="15" hidden="false" customHeight="false" outlineLevel="0" collapsed="false">
      <c r="A16" s="7" t="s">
        <v>160</v>
      </c>
    </row>
    <row r="17" customFormat="false" ht="23.85" hidden="false" customHeight="false" outlineLevel="0" collapsed="false">
      <c r="A17" s="6" t="s">
        <v>161</v>
      </c>
    </row>
    <row r="18" customFormat="false" ht="15" hidden="false" customHeight="false" outlineLevel="0" collapsed="false">
      <c r="A18" s="6" t="s">
        <v>162</v>
      </c>
    </row>
    <row r="19" customFormat="false" ht="23.85" hidden="false" customHeight="false" outlineLevel="0" collapsed="false">
      <c r="A19" s="6" t="s">
        <v>163</v>
      </c>
    </row>
    <row r="20" customFormat="false" ht="15" hidden="false" customHeight="false" outlineLevel="0" collapsed="false">
      <c r="A20" s="6" t="s">
        <v>164</v>
      </c>
    </row>
    <row r="21" customFormat="false" ht="15" hidden="false" customHeight="false" outlineLevel="0" collapsed="false">
      <c r="A21" s="6" t="s">
        <v>165</v>
      </c>
    </row>
    <row r="22" customFormat="false" ht="15" hidden="false" customHeight="false" outlineLevel="0" collapsed="false">
      <c r="A22" s="6"/>
    </row>
    <row r="23" customFormat="false" ht="15" hidden="false" customHeight="false" outlineLevel="0" collapsed="false">
      <c r="A23" s="7" t="s">
        <v>166</v>
      </c>
    </row>
    <row r="24" customFormat="false" ht="15" hidden="false" customHeight="false" outlineLevel="0" collapsed="false">
      <c r="A24" s="6" t="s">
        <v>167</v>
      </c>
    </row>
    <row r="25" customFormat="false" ht="15" hidden="false" customHeight="false" outlineLevel="0" collapsed="false">
      <c r="A25" s="6" t="s">
        <v>168</v>
      </c>
    </row>
    <row r="26" customFormat="false" ht="15" hidden="false" customHeight="false" outlineLevel="0" collapsed="false">
      <c r="A26" s="6" t="s">
        <v>169</v>
      </c>
    </row>
    <row r="27" customFormat="false" ht="15" hidden="false" customHeight="false" outlineLevel="0" collapsed="false">
      <c r="A27" s="6" t="s">
        <v>170</v>
      </c>
    </row>
    <row r="28" customFormat="false" ht="15" hidden="false" customHeight="false" outlineLevel="0" collapsed="false">
      <c r="A28" s="6" t="s">
        <v>171</v>
      </c>
    </row>
    <row r="29" customFormat="false" ht="15" hidden="false" customHeight="false" outlineLevel="0" collapsed="false">
      <c r="A29" s="6" t="s">
        <v>172</v>
      </c>
    </row>
    <row r="30" customFormat="false" ht="15" hidden="false" customHeight="false" outlineLevel="0" collapsed="false">
      <c r="A30" s="6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2026-05-31T06:11:06Z</dcterms:created>
  <dc:creator>openpyxl</dc:creator>
  <dc:description/>
  <dc:language>en-US</dc:language>
  <cp:lastModifiedBy/>
  <dcterms:modified xsi:type="dcterms:W3CDTF">2026-05-31T06:11:06Z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